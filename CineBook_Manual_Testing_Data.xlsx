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3d4c3f8f545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0a57dd4476a411f"/>
    <x:sheet xmlns:r="http://schemas.openxmlformats.org/officeDocument/2006/relationships" name="Sheet2" sheetId="2" r:id="R0efe159d064544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0"/>
    <x:numFmt numFmtId="202" formatCode="0.0"/>
  </x:numFmts>
  <x:fonts count="6"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8"/>
      <x:color theme="1"/>
      <x:name val="Aptos Narrow"/>
    </x:font>
    <x:font>
      <x:b/>
      <x:sz val="16"/>
      <x:color theme="1"/>
      <x:name val="Aptos Narrow"/>
    </x:font>
    <x:font>
      <x:b/>
      <x:sz val="16"/>
      <x:color rgb="FFFFFFFF"/>
      <x:name val="Aptos Narrow"/>
    </x:font>
    <x:font>
      <x:i/>
      <x:sz val="11"/>
      <x:color rgb="FF7A5A00"/>
      <x:name val="Aptos Narrow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7FBFF"/>
      </x:patternFill>
    </x:fill>
    <x:fill>
      <x:patternFill patternType="solid">
        <x:fgColor rgb="FFFFF9F0"/>
      </x:patternFill>
    </x:fill>
    <x:fill>
      <x:patternFill patternType="solid">
        <x:fgColor rgb="FFFFF7E6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16">
    <x:xf numFmtId="0" fontId="0" fillId="0" borderId="0" xfId="0"/>
    <x:xf numFmtId="0" fontId="1" fillId="0" borderId="0" xfId="0" applyFont="1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2" fillId="0" borderId="0" xfId="0" applyFont="1" applyAlignment="1">
      <x:alignment vertical="center"/>
    </x:xf>
    <x:xf numFmtId="0" fontId="3" fillId="0" borderId="0" xfId="0" applyFont="1"/>
    <x:xf numFmtId="0" fontId="1" fillId="0" borderId="0" xfId="0" applyFont="1"/>
    <x:xf numFmtId="0" fontId="0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3" borderId="10" xfId="0" applyNumberFormat="1" applyFont="1" applyFill="1" applyBorder="1" applyAlignment="1">
      <x:alignment horizontal="center" vertical="center" wrapText="1"/>
    </x:xf>
    <x:xf numFmtId="0" fontId="1" fillId="3" borderId="11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1" fillId="4" borderId="13" xfId="0" applyNumberFormat="1" applyFont="1" applyFill="1" applyBorder="1" applyAlignment="1">
      <x:alignment horizontal="center" wrapText="1"/>
    </x:xf>
    <x:xf numFmtId="0" fontId="1" fillId="4" borderId="14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1" fillId="4" borderId="13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14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0" fontId="0" fillId="5" borderId="13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200" fontId="0" fillId="6" borderId="0" xfId="0" applyNumberFormat="1" applyFont="1" applyFill="1" applyBorder="1" applyAlignment="1">
      <x:alignment vertical="center" wrapText="1"/>
    </x:xf>
    <x:xf numFmtId="201" fontId="0" fillId="6" borderId="0" xfId="0" applyNumberFormat="1" applyFont="1" applyFill="1" applyBorder="1" applyAlignment="1">
      <x:alignment vertical="center" wrapText="1"/>
    </x:xf>
    <x:xf numFmtId="0" fontId="0" fillId="6" borderId="13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  <x:xf numFmtId="200" fontId="0" fillId="6" borderId="1" xfId="0" applyNumberFormat="1" applyFont="1" applyFill="1" applyBorder="1" applyAlignment="1">
      <x:alignment vertical="center" wrapText="1"/>
    </x:xf>
    <x:xf numFmtId="201" fontId="0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f907c4718f48a2" /><Relationship Type="http://schemas.openxmlformats.org/officeDocument/2006/relationships/theme" Target="/xl/theme/theme1.xml" Id="Rae0d00caf4ea40d9" /><Relationship Type="http://schemas.openxmlformats.org/officeDocument/2006/relationships/sharedStrings" Target="/xl/sharedStrings.xml" Id="Ra6b15f40066e4583" /><Relationship Type="http://schemas.openxmlformats.org/officeDocument/2006/relationships/worksheet" Target="/xl/worksheets/sheet1.xml" Id="R20a57dd4476a411f" /><Relationship Type="http://schemas.openxmlformats.org/officeDocument/2006/relationships/worksheet" Target="/xl/worksheets/sheet2.xml" Id="R0efe159d064544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25" hidden="0" customWidth="1"/>
    <x:col min="2" max="2" width="12" hidden="0" customWidth="1"/>
    <x:col min="3" max="3" width="38" hidden="0" customWidth="1"/>
    <x:col min="4" max="4" width="40" hidden="0" customWidth="1"/>
    <x:col min="5" max="5" width="38" hidden="0" customWidth="1"/>
    <x:col min="6" max="6" width="16" hidden="0" customWidth="1"/>
  </x:cols>
  <x:sheetData>
    <x:row r="1" ht="23.399999618530273">
      <x:c r="A1" s="12" t="str">
        <x:v>Registration</x:v>
      </x:c>
      <x:c r="B1" s="13"/>
      <x:c r="C1" s="13"/>
      <x:c r="D1" s="13"/>
      <x:c r="E1" s="13"/>
      <x:c r="F1" s="13"/>
    </x:row>
    <x:row r="2">
      <x:c r="A2" s="13"/>
      <x:c r="B2" s="13"/>
      <x:c r="C2" s="13"/>
      <x:c r="D2" s="13"/>
      <x:c r="E2" s="13"/>
      <x:c r="F2" s="13"/>
    </x:row>
    <x:row r="3">
      <x:c r="A3" s="14" t="str">
        <x:v>TC ID</x:v>
      </x:c>
      <x:c r="B3" s="14" t="str">
        <x:v>Req</x:v>
      </x:c>
      <x:c r="C3" s="14" t="str">
        <x:v>Test Scenario</x:v>
      </x:c>
      <x:c r="D3" s="14" t="str">
        <x:v>Expected Result</x:v>
      </x:c>
      <x:c r="E3" s="14" t="str">
        <x:v>Actual Result / Observation</x:v>
      </x:c>
      <x:c r="F3" s="14" t="str">
        <x:v>Status</x:v>
      </x:c>
    </x:row>
    <x:row r="4" ht="28.799999237060547">
      <x:c r="A4" s="15" t="str">
        <x:v>TC01</x:v>
      </x:c>
      <x:c r="B4" s="15" t="str">
        <x:v>R1</x:v>
      </x:c>
      <x:c r="C4" s="15" t="str">
        <x:v>Register with valid details</x:v>
      </x:c>
      <x:c r="D4" s="15" t="str">
        <x:v>Account should be created</x:v>
      </x:c>
      <x:c r="E4" s="15" t="str">
        <x:v>Pass recorded</x:v>
      </x:c>
      <x:c r="F4" s="15" t="str">
        <x:v>Pass</x:v>
      </x:c>
    </x:row>
    <x:row r="5" ht="28.799999237060547">
      <x:c r="A5" s="15" t="str">
        <x:v>TC02</x:v>
      </x:c>
      <x:c r="B5" s="15" t="str">
        <x:v>R1</x:v>
      </x:c>
      <x:c r="C5" s="15" t="str">
        <x:v>Register with existing email</x:v>
      </x:c>
      <x:c r="D5" s="15" t="str">
        <x:v>Error message should be displayed</x:v>
      </x:c>
      <x:c r="E5" s="15" t="str">
        <x:v>Pass recorded</x:v>
      </x:c>
      <x:c r="F5" s="15" t="str">
        <x:v>Pass</x:v>
      </x:c>
    </x:row>
    <x:row r="6">
      <x:c r="A6" s="13"/>
      <x:c r="B6" s="13"/>
      <x:c r="C6" s="13"/>
      <x:c r="D6" s="13"/>
      <x:c r="E6" s="13"/>
      <x:c r="F6" s="13"/>
    </x:row>
    <x:row r="7" ht="23.399999618530273">
      <x:c r="A7" s="12" t="str">
        <x:v>Login</x:v>
      </x:c>
      <x:c r="B7" s="13"/>
      <x:c r="C7" s="13"/>
      <x:c r="D7" s="13"/>
      <x:c r="E7" s="13"/>
      <x:c r="F7" s="13"/>
    </x:row>
    <x:row r="8">
      <x:c r="A8" s="13"/>
      <x:c r="B8" s="13"/>
      <x:c r="C8" s="13"/>
      <x:c r="D8" s="13"/>
      <x:c r="E8" s="13"/>
      <x:c r="F8" s="13"/>
    </x:row>
    <x:row r="9">
      <x:c r="A9" s="14" t="str">
        <x:v>TC ID</x:v>
      </x:c>
      <x:c r="B9" s="14" t="str">
        <x:v>Req</x:v>
      </x:c>
      <x:c r="C9" s="14" t="str">
        <x:v>Test Scenario</x:v>
      </x:c>
      <x:c r="D9" s="14" t="str">
        <x:v>Expected Result</x:v>
      </x:c>
      <x:c r="E9" s="14" t="str">
        <x:v>Actual Result / Observation</x:v>
      </x:c>
      <x:c r="F9" s="14" t="str">
        <x:v>Status</x:v>
      </x:c>
    </x:row>
    <x:row r="10">
      <x:c r="A10" s="15" t="str">
        <x:v>TC03</x:v>
      </x:c>
      <x:c r="B10" s="15" t="str">
        <x:v>R2</x:v>
      </x:c>
      <x:c r="C10" s="15" t="str">
        <x:v>Login using valid credentials</x:v>
      </x:c>
      <x:c r="D10" s="15" t="str">
        <x:v>User should log in successfully</x:v>
      </x:c>
      <x:c r="E10" s="15" t="str">
        <x:v>Pass recorded</x:v>
      </x:c>
      <x:c r="F10" s="15" t="str">
        <x:v>Pass</x:v>
      </x:c>
    </x:row>
    <x:row r="11" ht="28.799999237060547">
      <x:c r="A11" s="15" t="str">
        <x:v>TC04</x:v>
      </x:c>
      <x:c r="B11" s="15" t="str">
        <x:v>R2</x:v>
      </x:c>
      <x:c r="C11" s="15" t="str">
        <x:v>Login using incorrect password</x:v>
      </x:c>
      <x:c r="D11" s="15" t="str">
        <x:v>Error message should be displayed</x:v>
      </x:c>
      <x:c r="E11" s="15" t="str">
        <x:v>Pass recorded</x:v>
      </x:c>
      <x:c r="F11" s="15" t="str">
        <x:v>Pass</x:v>
      </x:c>
    </x:row>
    <x:row r="12">
      <x:c r="A12" s="13"/>
      <x:c r="B12" s="13"/>
      <x:c r="C12" s="13"/>
      <x:c r="D12" s="13"/>
      <x:c r="E12" s="13"/>
      <x:c r="F12" s="13"/>
    </x:row>
    <x:row r="13" ht="23.399999618530273">
      <x:c r="A13" s="12" t="str">
        <x:v>Movie Search</x:v>
      </x:c>
      <x:c r="B13" s="13"/>
      <x:c r="C13" s="13"/>
      <x:c r="D13" s="13"/>
      <x:c r="E13" s="13"/>
      <x:c r="F13" s="13"/>
    </x:row>
    <x:row r="14">
      <x:c r="A14" s="13"/>
      <x:c r="B14" s="13"/>
      <x:c r="C14" s="13"/>
      <x:c r="D14" s="13"/>
      <x:c r="E14" s="13"/>
      <x:c r="F14" s="13"/>
    </x:row>
    <x:row r="15">
      <x:c r="A15" s="14" t="str">
        <x:v>TC ID</x:v>
      </x:c>
      <x:c r="B15" s="14" t="str">
        <x:v>Req</x:v>
      </x:c>
      <x:c r="C15" s="14" t="str">
        <x:v>Test Scenario</x:v>
      </x:c>
      <x:c r="D15" s="14" t="str">
        <x:v>Expected Result</x:v>
      </x:c>
      <x:c r="E15" s="14" t="str">
        <x:v>Actual Result / Observation</x:v>
      </x:c>
      <x:c r="F15" s="14" t="str">
        <x:v>Status</x:v>
      </x:c>
    </x:row>
    <x:row r="16" ht="28.799999237060547">
      <x:c r="A16" s="15" t="str">
        <x:v>TC05</x:v>
      </x:c>
      <x:c r="B16" s="15" t="str">
        <x:v>R3</x:v>
      </x:c>
      <x:c r="C16" s="15" t="str">
        <x:v>Search for an existing movie</x:v>
      </x:c>
      <x:c r="D16" s="15" t="str">
        <x:v>Matching movie should be displayed</x:v>
      </x:c>
      <x:c r="E16" s="15" t="str">
        <x:v>Pass recorded</x:v>
      </x:c>
      <x:c r="F16" s="15" t="str">
        <x:v>Pass</x:v>
      </x:c>
    </x:row>
    <x:row r="17" ht="28.799999237060547">
      <x:c r="A17" s="15" t="str">
        <x:v>TC06</x:v>
      </x:c>
      <x:c r="B17" s="15" t="str">
        <x:v>R3</x:v>
      </x:c>
      <x:c r="C17" s="15" t="str">
        <x:v>Search for a non-existing movie</x:v>
      </x:c>
      <x:c r="D17" s="15" t="str">
        <x:v>No-result message should be displayed</x:v>
      </x:c>
      <x:c r="E17" s="15" t="str">
        <x:v>Incorrect search results</x:v>
      </x:c>
      <x:c r="F17" s="15" t="str">
        <x:v>Fail</x:v>
      </x:c>
    </x:row>
    <x:row r="18">
      <x:c r="A18" s="13"/>
      <x:c r="B18" s="13"/>
      <x:c r="C18" s="13"/>
      <x:c r="D18" s="13"/>
      <x:c r="E18" s="13"/>
      <x:c r="F18" s="13"/>
    </x:row>
    <x:row r="19" ht="23.399999618530273">
      <x:c r="A19" s="12" t="str">
        <x:v>Language Filter</x:v>
      </x:c>
      <x:c r="B19" s="13"/>
      <x:c r="C19" s="13"/>
      <x:c r="D19" s="13"/>
      <x:c r="E19" s="13"/>
      <x:c r="F19" s="13"/>
    </x:row>
    <x:row r="20">
      <x:c r="A20" s="13"/>
      <x:c r="B20" s="13"/>
      <x:c r="C20" s="13"/>
      <x:c r="D20" s="13"/>
      <x:c r="E20" s="13"/>
      <x:c r="F20" s="13"/>
    </x:row>
    <x:row r="21">
      <x:c r="A21" s="14" t="str">
        <x:v>TC ID</x:v>
      </x:c>
      <x:c r="B21" s="14" t="str">
        <x:v>Req</x:v>
      </x:c>
      <x:c r="C21" s="14" t="str">
        <x:v>Test Scenario</x:v>
      </x:c>
      <x:c r="D21" s="14" t="str">
        <x:v>Expected Result</x:v>
      </x:c>
      <x:c r="E21" s="14" t="str">
        <x:v>Actual Result / Observation</x:v>
      </x:c>
      <x:c r="F21" s="14" t="str">
        <x:v>Status</x:v>
      </x:c>
    </x:row>
    <x:row r="22" ht="28.799999237060547">
      <x:c r="A22" s="15" t="str">
        <x:v>TC07</x:v>
      </x:c>
      <x:c r="B22" s="15" t="str">
        <x:v>R4</x:v>
      </x:c>
      <x:c r="C22" s="15" t="str">
        <x:v>Select Tamil language</x:v>
      </x:c>
      <x:c r="D22" s="15" t="str">
        <x:v>Tamil movies should be displayed</x:v>
      </x:c>
      <x:c r="E22" s="15" t="str">
        <x:v>Pass recorded</x:v>
      </x:c>
      <x:c r="F22" s="15" t="str">
        <x:v>Pass</x:v>
      </x:c>
    </x:row>
    <x:row r="23" ht="28.799999237060547">
      <x:c r="A23" s="15" t="str">
        <x:v>TC08</x:v>
      </x:c>
      <x:c r="B23" s="15" t="str">
        <x:v>R4</x:v>
      </x:c>
      <x:c r="C23" s="15" t="str">
        <x:v>Select Hindi language</x:v>
      </x:c>
      <x:c r="D23" s="15" t="str">
        <x:v>Hindi movies should be displayed</x:v>
      </x:c>
      <x:c r="E23" s="15" t="str">
        <x:v>Pass recorded</x:v>
      </x:c>
      <x:c r="F23" s="15" t="str">
        <x:v>Pass</x:v>
      </x:c>
    </x:row>
    <x:row r="24">
      <x:c r="A24" s="13"/>
      <x:c r="B24" s="13"/>
      <x:c r="C24" s="13"/>
      <x:c r="D24" s="13"/>
      <x:c r="E24" s="13"/>
      <x:c r="F24" s="13"/>
    </x:row>
    <x:row r="25" ht="23.399999618530273">
      <x:c r="A25" s="12" t="str">
        <x:v>Movie Details</x:v>
      </x:c>
      <x:c r="B25" s="13"/>
      <x:c r="C25" s="13"/>
      <x:c r="D25" s="13"/>
      <x:c r="E25" s="13"/>
      <x:c r="F25" s="13"/>
    </x:row>
    <x:row r="26">
      <x:c r="A26" s="13"/>
      <x:c r="B26" s="13"/>
      <x:c r="C26" s="13"/>
      <x:c r="D26" s="13"/>
      <x:c r="E26" s="13"/>
      <x:c r="F26" s="13"/>
    </x:row>
    <x:row r="27">
      <x:c r="A27" s="14" t="str">
        <x:v>TC ID</x:v>
      </x:c>
      <x:c r="B27" s="14" t="str">
        <x:v>Req</x:v>
      </x:c>
      <x:c r="C27" s="14" t="str">
        <x:v>Test Scenario</x:v>
      </x:c>
      <x:c r="D27" s="14" t="str">
        <x:v>Expected Result</x:v>
      </x:c>
      <x:c r="E27" s="14" t="str">
        <x:v>Actual Result / Observation</x:v>
      </x:c>
      <x:c r="F27" s="14" t="str">
        <x:v>Status</x:v>
      </x:c>
    </x:row>
    <x:row r="28" ht="28.799999237060547">
      <x:c r="A28" s="15" t="str">
        <x:v>TC09</x:v>
      </x:c>
      <x:c r="B28" s="15" t="str">
        <x:v>R5</x:v>
      </x:c>
      <x:c r="C28" s="15" t="str">
        <x:v>Open movie details</x:v>
      </x:c>
      <x:c r="D28" s="15" t="str">
        <x:v>Title, language, duration and rating should appear</x:v>
      </x:c>
      <x:c r="E28" s="15" t="str">
        <x:v>Pass recorded</x:v>
      </x:c>
      <x:c r="F28" s="15" t="str">
        <x:v>Pass</x:v>
      </x:c>
    </x:row>
    <x:row r="29" ht="28.799999237060547">
      <x:c r="A29" s="15" t="str">
        <x:v>TC10</x:v>
      </x:c>
      <x:c r="B29" s="15" t="str">
        <x:v>R5</x:v>
      </x:c>
      <x:c r="C29" s="15" t="str">
        <x:v>Open movie description</x:v>
      </x:c>
      <x:c r="D29" s="15" t="str">
        <x:v>Correct description should appear</x:v>
      </x:c>
      <x:c r="E29" s="15" t="str">
        <x:v>Pass recorded</x:v>
      </x:c>
      <x:c r="F29" s="15" t="str">
        <x:v>Pass</x:v>
      </x:c>
    </x:row>
    <x:row r="30">
      <x:c r="A30" s="13"/>
      <x:c r="B30" s="13"/>
      <x:c r="C30" s="13"/>
      <x:c r="D30" s="13"/>
      <x:c r="E30" s="13"/>
      <x:c r="F30" s="13"/>
    </x:row>
    <x:row r="31" ht="23.399999618530273">
      <x:c r="A31" s="12" t="str">
        <x:v>Theatre/Show Selection</x:v>
      </x:c>
      <x:c r="B31" s="13"/>
      <x:c r="C31" s="13"/>
      <x:c r="D31" s="13"/>
      <x:c r="E31" s="13"/>
      <x:c r="F31" s="13"/>
    </x:row>
    <x:row r="32">
      <x:c r="A32" s="13"/>
      <x:c r="B32" s="13"/>
      <x:c r="C32" s="13"/>
      <x:c r="D32" s="13"/>
      <x:c r="E32" s="13"/>
      <x:c r="F32" s="13"/>
    </x:row>
    <x:row r="33">
      <x:c r="A33" s="14" t="str">
        <x:v>TC ID</x:v>
      </x:c>
      <x:c r="B33" s="14" t="str">
        <x:v>Req</x:v>
      </x:c>
      <x:c r="C33" s="14" t="str">
        <x:v>Test Scenario</x:v>
      </x:c>
      <x:c r="D33" s="14" t="str">
        <x:v>Expected Result</x:v>
      </x:c>
      <x:c r="E33" s="14" t="str">
        <x:v>Actual Result / Observation</x:v>
      </x:c>
      <x:c r="F33" s="14" t="str">
        <x:v>Status</x:v>
      </x:c>
    </x:row>
    <x:row r="34">
      <x:c r="A34" s="15" t="str">
        <x:v>TC11</x:v>
      </x:c>
      <x:c r="B34" s="15" t="str">
        <x:v>R6</x:v>
      </x:c>
      <x:c r="C34" s="15" t="str">
        <x:v>Select available theatre</x:v>
      </x:c>
      <x:c r="D34" s="15" t="str">
        <x:v>Theatre should be selected</x:v>
      </x:c>
      <x:c r="E34" s="15" t="str">
        <x:v>Pass recorded</x:v>
      </x:c>
      <x:c r="F34" s="15" t="str">
        <x:v>Pass</x:v>
      </x:c>
    </x:row>
    <x:row r="35" ht="28.799999237060547">
      <x:c r="A35" s="15" t="str">
        <x:v>TC12</x:v>
      </x:c>
      <x:c r="B35" s="15" t="str">
        <x:v>R6</x:v>
      </x:c>
      <x:c r="C35" s="15" t="str">
        <x:v>Select show timing</x:v>
      </x:c>
      <x:c r="D35" s="15" t="str">
        <x:v>Selected show should be displayed</x:v>
      </x:c>
      <x:c r="E35" s="15" t="str">
        <x:v>Pass recorded</x:v>
      </x:c>
      <x:c r="F35" s="15" t="str">
        <x:v>Pass</x:v>
      </x:c>
    </x:row>
    <x:row r="36">
      <x:c r="A36" s="13"/>
      <x:c r="B36" s="13"/>
      <x:c r="C36" s="13"/>
      <x:c r="D36" s="13"/>
      <x:c r="E36" s="13"/>
      <x:c r="F36" s="13"/>
    </x:row>
    <x:row r="37" ht="23.399999618530273">
      <x:c r="A37" s="12" t="str">
        <x:v>Seat Selection</x:v>
      </x:c>
      <x:c r="B37" s="13"/>
      <x:c r="C37" s="13"/>
      <x:c r="D37" s="13"/>
      <x:c r="E37" s="13"/>
      <x:c r="F37" s="13"/>
    </x:row>
    <x:row r="38">
      <x:c r="A38" s="13"/>
      <x:c r="B38" s="13"/>
      <x:c r="C38" s="13"/>
      <x:c r="D38" s="13"/>
      <x:c r="E38" s="13"/>
      <x:c r="F38" s="13"/>
    </x:row>
    <x:row r="39">
      <x:c r="A39" s="14" t="str">
        <x:v>TC ID</x:v>
      </x:c>
      <x:c r="B39" s="14" t="str">
        <x:v>Req</x:v>
      </x:c>
      <x:c r="C39" s="14" t="str">
        <x:v>Test Scenario</x:v>
      </x:c>
      <x:c r="D39" s="14" t="str">
        <x:v>Expected Result</x:v>
      </x:c>
      <x:c r="E39" s="14" t="str">
        <x:v>Actual Result / Observation</x:v>
      </x:c>
      <x:c r="F39" s="14" t="str">
        <x:v>Status</x:v>
      </x:c>
    </x:row>
    <x:row r="40">
      <x:c r="A40" s="15" t="str">
        <x:v>TC13</x:v>
      </x:c>
      <x:c r="B40" s="15" t="str">
        <x:v>R7</x:v>
      </x:c>
      <x:c r="C40" s="15" t="str">
        <x:v>Select available seat</x:v>
      </x:c>
      <x:c r="D40" s="15" t="str">
        <x:v>Seat should be selected</x:v>
      </x:c>
      <x:c r="E40" s="15" t="str">
        <x:v>Pass recorded</x:v>
      </x:c>
      <x:c r="F40" s="15" t="str">
        <x:v>Pass</x:v>
      </x:c>
    </x:row>
    <x:row r="41" ht="28.799999237060547">
      <x:c r="A41" s="15" t="str">
        <x:v>TC14</x:v>
      </x:c>
      <x:c r="B41" s="15" t="str">
        <x:v>R7</x:v>
      </x:c>
      <x:c r="C41" s="15" t="str">
        <x:v>Select already booked seat</x:v>
      </x:c>
      <x:c r="D41" s="15" t="str">
        <x:v>Booked seat should not be selectable</x:v>
      </x:c>
      <x:c r="E41" s="15" t="str">
        <x:v>Pass recorded</x:v>
      </x:c>
      <x:c r="F41" s="15" t="str">
        <x:v>Pass</x:v>
      </x:c>
    </x:row>
    <x:row r="42">
      <x:c r="A42" s="13"/>
      <x:c r="B42" s="13"/>
      <x:c r="C42" s="13"/>
      <x:c r="D42" s="13"/>
      <x:c r="E42" s="13"/>
      <x:c r="F42" s="13"/>
    </x:row>
    <x:row r="43" ht="23.399999618530273">
      <x:c r="A43" s="12" t="str">
        <x:v>Seat Locking</x:v>
      </x:c>
      <x:c r="B43" s="13"/>
      <x:c r="C43" s="13"/>
      <x:c r="D43" s="13"/>
      <x:c r="E43" s="13"/>
      <x:c r="F43" s="13"/>
    </x:row>
    <x:row r="44">
      <x:c r="A44" s="13"/>
      <x:c r="B44" s="13"/>
      <x:c r="C44" s="13"/>
      <x:c r="D44" s="13"/>
      <x:c r="E44" s="13"/>
      <x:c r="F44" s="13"/>
    </x:row>
    <x:row r="45">
      <x:c r="A45" s="14" t="str">
        <x:v>TC ID</x:v>
      </x:c>
      <x:c r="B45" s="14" t="str">
        <x:v>Req</x:v>
      </x:c>
      <x:c r="C45" s="14" t="str">
        <x:v>Test Scenario</x:v>
      </x:c>
      <x:c r="D45" s="14" t="str">
        <x:v>Expected Result</x:v>
      </x:c>
      <x:c r="E45" s="14" t="str">
        <x:v>Actual Result / Observation</x:v>
      </x:c>
      <x:c r="F45" s="14" t="str">
        <x:v>Status</x:v>
      </x:c>
    </x:row>
    <x:row r="46">
      <x:c r="A46" s="15" t="str">
        <x:v>TC15</x:v>
      </x:c>
      <x:c r="B46" s="15" t="str">
        <x:v>R8</x:v>
      </x:c>
      <x:c r="C46" s="15" t="str">
        <x:v>Select a seat and proceed to payment</x:v>
      </x:c>
      <x:c r="D46" s="15" t="str">
        <x:v>Seat should be temporarily locked</x:v>
      </x:c>
      <x:c r="E46" s="15" t="str">
        <x:v>Pass recorded</x:v>
      </x:c>
      <x:c r="F46" s="15" t="str">
        <x:v>Pass</x:v>
      </x:c>
    </x:row>
    <x:row r="47">
      <x:c r="A47" s="15" t="str">
        <x:v>TC16</x:v>
      </x:c>
      <x:c r="B47" s="15" t="str">
        <x:v>R8</x:v>
      </x:c>
      <x:c r="C47" s="15" t="str">
        <x:v>Another user attempts to select locked seat</x:v>
      </x:c>
      <x:c r="D47" s="15" t="str">
        <x:v>Locked seat should not be available</x:v>
      </x:c>
      <x:c r="E47" s="15" t="str">
        <x:v>Locked seat could be selected by another user</x:v>
      </x:c>
      <x:c r="F47" s="15" t="str">
        <x:v>Fail</x:v>
      </x:c>
    </x:row>
    <x:row r="48">
      <x:c r="A48" s="13"/>
      <x:c r="B48" s="13"/>
      <x:c r="C48" s="13"/>
      <x:c r="D48" s="13"/>
      <x:c r="E48" s="13"/>
      <x:c r="F48" s="13"/>
    </x:row>
    <x:row r="49" ht="23.399999618530273">
      <x:c r="A49" s="12" t="str">
        <x:v>Coupon</x:v>
      </x:c>
      <x:c r="B49" s="13"/>
      <x:c r="C49" s="13"/>
      <x:c r="D49" s="13"/>
      <x:c r="E49" s="13"/>
      <x:c r="F49" s="13"/>
    </x:row>
    <x:row r="50">
      <x:c r="A50" s="13"/>
      <x:c r="B50" s="13"/>
      <x:c r="C50" s="13"/>
      <x:c r="D50" s="13"/>
      <x:c r="E50" s="13"/>
      <x:c r="F50" s="13"/>
    </x:row>
    <x:row r="51">
      <x:c r="A51" s="14" t="str">
        <x:v>TC ID</x:v>
      </x:c>
      <x:c r="B51" s="14" t="str">
        <x:v>Req</x:v>
      </x:c>
      <x:c r="C51" s="14" t="str">
        <x:v>Test Scenario</x:v>
      </x:c>
      <x:c r="D51" s="14" t="str">
        <x:v>Expected Result</x:v>
      </x:c>
      <x:c r="E51" s="14" t="str">
        <x:v>Actual Result / Observation</x:v>
      </x:c>
      <x:c r="F51" s="14" t="str">
        <x:v>Status</x:v>
      </x:c>
    </x:row>
    <x:row r="52">
      <x:c r="A52" s="15" t="str">
        <x:v>TC17</x:v>
      </x:c>
      <x:c r="B52" s="15" t="str">
        <x:v>R9</x:v>
      </x:c>
      <x:c r="C52" s="15" t="str">
        <x:v>Apply valid coupon</x:v>
      </x:c>
      <x:c r="D52" s="15" t="str">
        <x:v>Discount should be applied</x:v>
      </x:c>
      <x:c r="E52" s="15" t="str">
        <x:v>Pass recorded</x:v>
      </x:c>
      <x:c r="F52" s="15" t="str">
        <x:v>Pass</x:v>
      </x:c>
    </x:row>
    <x:row r="53">
      <x:c r="A53" s="15" t="str">
        <x:v>TC18</x:v>
      </x:c>
      <x:c r="B53" s="15" t="str">
        <x:v>R9</x:v>
      </x:c>
      <x:c r="C53" s="15" t="str">
        <x:v>Apply expired coupon</x:v>
      </x:c>
      <x:c r="D53" s="15" t="str">
        <x:v>Coupon should be rejected</x:v>
      </x:c>
      <x:c r="E53" s="15" t="str">
        <x:v>Expired coupon is accepted</x:v>
      </x:c>
      <x:c r="F53" s="15" t="str">
        <x:v>Fail</x:v>
      </x:c>
    </x:row>
    <x:row r="54">
      <x:c r="A54" s="13"/>
      <x:c r="B54" s="13"/>
      <x:c r="C54" s="13"/>
      <x:c r="D54" s="13"/>
      <x:c r="E54" s="13"/>
      <x:c r="F54" s="13"/>
    </x:row>
    <x:row r="55" ht="23.399999618530273">
      <x:c r="A55" s="12" t="str">
        <x:v>Payment</x:v>
      </x:c>
      <x:c r="B55" s="13"/>
      <x:c r="C55" s="13"/>
      <x:c r="D55" s="13"/>
      <x:c r="E55" s="13"/>
      <x:c r="F55" s="13"/>
    </x:row>
    <x:row r="56">
      <x:c r="A56" s="13"/>
      <x:c r="B56" s="13"/>
      <x:c r="C56" s="13"/>
      <x:c r="D56" s="13"/>
      <x:c r="E56" s="13"/>
      <x:c r="F56" s="13"/>
    </x:row>
    <x:row r="57">
      <x:c r="A57" s="14" t="str">
        <x:v>TC ID</x:v>
      </x:c>
      <x:c r="B57" s="14" t="str">
        <x:v>Req</x:v>
      </x:c>
      <x:c r="C57" s="14" t="str">
        <x:v>Test Scenario</x:v>
      </x:c>
      <x:c r="D57" s="14" t="str">
        <x:v>Expected Result</x:v>
      </x:c>
      <x:c r="E57" s="14" t="str">
        <x:v>Actual Result / Observation</x:v>
      </x:c>
      <x:c r="F57" s="14" t="str">
        <x:v>Status</x:v>
      </x:c>
    </x:row>
    <x:row r="58" ht="28.799999237060547">
      <x:c r="A58" s="15" t="str">
        <x:v>TC19</x:v>
      </x:c>
      <x:c r="B58" s="15" t="str">
        <x:v>R10</x:v>
      </x:c>
      <x:c r="C58" s="15" t="str">
        <x:v>Pay using UPI</x:v>
      </x:c>
      <x:c r="D58" s="15" t="str">
        <x:v>Payment should be successful</x:v>
      </x:c>
      <x:c r="E58" s="15" t="str">
        <x:v>Pass recorded</x:v>
      </x:c>
      <x:c r="F58" s="15" t="str">
        <x:v>Pass</x:v>
      </x:c>
    </x:row>
    <x:row r="59">
      <x:c r="A59" s="15" t="str">
        <x:v>TC20</x:v>
      </x:c>
      <x:c r="B59" s="15" t="str">
        <x:v>R10</x:v>
      </x:c>
      <x:c r="C59" s="15" t="str">
        <x:v>Pay using debit card</x:v>
      </x:c>
      <x:c r="D59" s="15" t="str">
        <x:v>Payment should be successful</x:v>
      </x:c>
      <x:c r="E59" s="15" t="str">
        <x:v>Pass recorded</x:v>
      </x:c>
      <x:c r="F59" s="15" t="str">
        <x:v>Pass</x:v>
      </x:c>
    </x:row>
    <x:row r="60">
      <x:c r="A60" s="13"/>
      <x:c r="B60" s="13"/>
      <x:c r="C60" s="13"/>
      <x:c r="D60" s="13"/>
      <x:c r="E60" s="13"/>
      <x:c r="F60" s="13"/>
    </x:row>
    <x:row r="61" ht="23.399999618530273">
      <x:c r="A61" s="12" t="str">
        <x:v>Booking Confirmation</x:v>
      </x:c>
      <x:c r="B61" s="13"/>
      <x:c r="C61" s="13"/>
      <x:c r="D61" s="13"/>
      <x:c r="E61" s="13"/>
      <x:c r="F61" s="13"/>
    </x:row>
    <x:row r="62">
      <x:c r="A62" s="13"/>
      <x:c r="B62" s="13"/>
      <x:c r="C62" s="13"/>
      <x:c r="D62" s="13"/>
      <x:c r="E62" s="13"/>
      <x:c r="F62" s="13"/>
    </x:row>
    <x:row r="63">
      <x:c r="A63" s="14" t="str">
        <x:v>TC ID</x:v>
      </x:c>
      <x:c r="B63" s="14" t="str">
        <x:v>Req</x:v>
      </x:c>
      <x:c r="C63" s="14" t="str">
        <x:v>Test Scenario</x:v>
      </x:c>
      <x:c r="D63" s="14" t="str">
        <x:v>Expected Result</x:v>
      </x:c>
      <x:c r="E63" s="14" t="str">
        <x:v>Actual Result / Observation</x:v>
      </x:c>
      <x:c r="F63" s="14" t="str">
        <x:v>Status</x:v>
      </x:c>
    </x:row>
    <x:row r="64" ht="28.799999237060547">
      <x:c r="A64" s="15" t="str">
        <x:v>TC21</x:v>
      </x:c>
      <x:c r="B64" s="15" t="str">
        <x:v>R11</x:v>
      </x:c>
      <x:c r="C64" s="15" t="str">
        <x:v>Complete successful booking</x:v>
      </x:c>
      <x:c r="D64" s="15" t="str">
        <x:v>Booking confirmation and booking ID should appear</x:v>
      </x:c>
      <x:c r="E64" s="15" t="str">
        <x:v>Pass recorded</x:v>
      </x:c>
      <x:c r="F64" s="15" t="str">
        <x:v>Pass</x:v>
      </x:c>
    </x:row>
    <x:row r="65" ht="28.799999237060547">
      <x:c r="A65" s="15" t="str">
        <x:v>TC22</x:v>
      </x:c>
      <x:c r="B65" s="15" t="str">
        <x:v>R11</x:v>
      </x:c>
      <x:c r="C65" s="15" t="str">
        <x:v>Refresh confirmation page</x:v>
      </x:c>
      <x:c r="D65" s="15" t="str">
        <x:v>Duplicate booking should not be created</x:v>
      </x:c>
      <x:c r="E65" s="15" t="str">
        <x:v>Pass recorded</x:v>
      </x:c>
      <x:c r="F65" s="15" t="str">
        <x:v>Pass</x:v>
      </x:c>
    </x:row>
    <x:row r="66">
      <x:c r="A66" s="13"/>
      <x:c r="B66" s="13"/>
      <x:c r="C66" s="13"/>
      <x:c r="D66" s="13"/>
      <x:c r="E66" s="13"/>
      <x:c r="F66" s="13"/>
    </x:row>
    <x:row r="67" ht="23.399999618530273">
      <x:c r="A67" s="12" t="str">
        <x:v>Booking Cancellation</x:v>
      </x:c>
      <x:c r="B67" s="13"/>
      <x:c r="C67" s="13"/>
      <x:c r="D67" s="13"/>
      <x:c r="E67" s="13"/>
      <x:c r="F67" s="13"/>
    </x:row>
    <x:row r="68">
      <x:c r="A68" s="13"/>
      <x:c r="B68" s="13"/>
      <x:c r="C68" s="13"/>
      <x:c r="D68" s="13"/>
      <x:c r="E68" s="13"/>
      <x:c r="F68" s="13"/>
    </x:row>
    <x:row r="69">
      <x:c r="A69" s="14" t="str">
        <x:v>TC ID</x:v>
      </x:c>
      <x:c r="B69" s="14" t="str">
        <x:v>Req</x:v>
      </x:c>
      <x:c r="C69" s="14" t="str">
        <x:v>Test Scenario</x:v>
      </x:c>
      <x:c r="D69" s="14" t="str">
        <x:v>Expected Result</x:v>
      </x:c>
      <x:c r="E69" s="14" t="str">
        <x:v>Actual Result / Observation</x:v>
      </x:c>
      <x:c r="F69" s="14" t="str">
        <x:v>Status</x:v>
      </x:c>
    </x:row>
    <x:row r="70">
      <x:c r="A70" s="15" t="str">
        <x:v>TC23</x:v>
      </x:c>
      <x:c r="B70" s="15" t="str">
        <x:v>R12</x:v>
      </x:c>
      <x:c r="C70" s="15" t="str">
        <x:v>Cancel booking before deadline</x:v>
      </x:c>
      <x:c r="D70" s="15" t="str">
        <x:v>Booking should be cancelled</x:v>
      </x:c>
      <x:c r="E70" s="15" t="str">
        <x:v>Not Executed</x:v>
      </x:c>
      <x:c r="F70" s="15" t="str">
        <x:v>Not Executed</x:v>
      </x:c>
    </x:row>
    <x:row r="71">
      <x:c r="A71" s="15" t="str">
        <x:v>TC24</x:v>
      </x:c>
      <x:c r="B71" s="15" t="str">
        <x:v>R12</x:v>
      </x:c>
      <x:c r="C71" s="15" t="str">
        <x:v>Cancel booking after deadline</x:v>
      </x:c>
      <x:c r="D71" s="15" t="str">
        <x:v>Cancellation should not be allowed</x:v>
      </x:c>
      <x:c r="E71" s="15" t="str">
        <x:v>Not Executed</x:v>
      </x:c>
      <x:c r="F71" s="15" t="str">
        <x:v>Not Executed</x:v>
      </x:c>
    </x:row>
    <x:row r="72">
      <x:c r="A72" s="13"/>
      <x:c r="B72" s="13"/>
      <x:c r="C72" s="13"/>
      <x:c r="D72" s="13"/>
      <x:c r="E72" s="13"/>
      <x:c r="F72" s="13"/>
    </x:row>
    <x:row r="73" ht="23.399999618530273">
      <x:c r="A73" s="12" t="str">
        <x:v>Confirmation Notification</x:v>
      </x:c>
      <x:c r="B73" s="13"/>
      <x:c r="C73" s="13"/>
      <x:c r="D73" s="13"/>
      <x:c r="E73" s="13"/>
      <x:c r="F73" s="13"/>
    </x:row>
    <x:row r="74">
      <x:c r="A74" s="13"/>
      <x:c r="B74" s="13"/>
      <x:c r="C74" s="13"/>
      <x:c r="D74" s="13"/>
      <x:c r="E74" s="13"/>
      <x:c r="F74" s="13"/>
    </x:row>
    <x:row r="75">
      <x:c r="A75" s="14" t="str">
        <x:v>TC ID</x:v>
      </x:c>
      <x:c r="B75" s="14" t="str">
        <x:v>Req</x:v>
      </x:c>
      <x:c r="C75" s="14" t="str">
        <x:v>Test Scenario</x:v>
      </x:c>
      <x:c r="D75" s="14" t="str">
        <x:v>Expected Result</x:v>
      </x:c>
      <x:c r="E75" s="14" t="str">
        <x:v>Actual Result / Observation</x:v>
      </x:c>
      <x:c r="F75" s="14" t="str">
        <x:v>Status</x:v>
      </x:c>
    </x:row>
    <x:row r="76">
      <x:c r="A76" s="15" t="str">
        <x:v>TC25</x:v>
      </x:c>
      <x:c r="B76" s="15" t="str">
        <x:v>R13</x:v>
      </x:c>
      <x:c r="C76" s="15" t="str">
        <x:v>Complete booking</x:v>
      </x:c>
      <x:c r="D76" s="15" t="str">
        <x:v>Confirmation notification should be received</x:v>
      </x:c>
      <x:c r="E76" s="15" t="str">
        <x:v>Not Executed</x:v>
      </x:c>
      <x:c r="F76" s="15" t="str">
        <x:v>Not Executed</x:v>
      </x:c>
    </x:row>
    <x:row r="77" ht="28.799999237060547">
      <x:c r="A77" s="15" t="str">
        <x:v>TC26</x:v>
      </x:c>
      <x:c r="B77" s="15" t="str">
        <x:v>R13</x:v>
      </x:c>
      <x:c r="C77" s="15" t="str">
        <x:v>Check notification details</x:v>
      </x:c>
      <x:c r="D77" s="15" t="str">
        <x:v>Booking ID and show details should be correct</x:v>
      </x:c>
      <x:c r="E77" s="15" t="str">
        <x:v>Not Executed</x:v>
      </x:c>
      <x:c r="F77" s="15" t="str">
        <x:v>Not Executed</x:v>
      </x:c>
    </x:row>
    <x:row r="78">
      <x:c r="A78" s="13"/>
      <x:c r="B78" s="13"/>
      <x:c r="C78" s="13"/>
      <x:c r="D78" s="13"/>
      <x:c r="E78" s="13"/>
      <x:c r="F78" s="13"/>
    </x:row>
    <x:row r="79" ht="23.399999618530273">
      <x:c r="A79" s="12" t="str">
        <x:v>Response Time</x:v>
      </x:c>
      <x:c r="B79" s="13"/>
      <x:c r="C79" s="13"/>
      <x:c r="D79" s="13"/>
      <x:c r="E79" s="13"/>
      <x:c r="F79" s="13"/>
    </x:row>
    <x:row r="80">
      <x:c r="A80" s="13"/>
      <x:c r="B80" s="13"/>
      <x:c r="C80" s="13"/>
      <x:c r="D80" s="13"/>
      <x:c r="E80" s="13"/>
      <x:c r="F80" s="13"/>
    </x:row>
    <x:row r="81">
      <x:c r="A81" s="14" t="str">
        <x:v>TC ID</x:v>
      </x:c>
      <x:c r="B81" s="14" t="str">
        <x:v>Req</x:v>
      </x:c>
      <x:c r="C81" s="14" t="str">
        <x:v>Test Scenario</x:v>
      </x:c>
      <x:c r="D81" s="14" t="str">
        <x:v>Expected Result</x:v>
      </x:c>
      <x:c r="E81" s="14" t="str">
        <x:v>Actual Result / Observation</x:v>
      </x:c>
      <x:c r="F81" s="14" t="str">
        <x:v>Status</x:v>
      </x:c>
    </x:row>
    <x:row r="82" ht="28.799999237060547">
      <x:c r="A82" s="15" t="str">
        <x:v>TC27</x:v>
      </x:c>
      <x:c r="B82" s="15" t="str">
        <x:v>R14</x:v>
      </x:c>
      <x:c r="C82" s="15" t="str">
        <x:v>Search for a movie</x:v>
      </x:c>
      <x:c r="D82" s="15" t="str">
        <x:v>Response should normally be ≤ 3 seconds</x:v>
      </x:c>
      <x:c r="E82" s="15" t="str">
        <x:v>Movie search took 5.8 seconds</x:v>
      </x:c>
      <x:c r="F82" s="15" t="str">
        <x:v>Fail</x:v>
      </x:c>
    </x:row>
    <x:row r="83" ht="28.799999237060547">
      <x:c r="A83" s="15" t="str">
        <x:v>TC28</x:v>
      </x:c>
      <x:c r="B83" s="15" t="str">
        <x:v>R14</x:v>
      </x:c>
      <x:c r="C83" s="15" t="str">
        <x:v>Select available seat</x:v>
      </x:c>
      <x:c r="D83" s="15" t="str">
        <x:v>Response should normally be ≤ 3 seconds</x:v>
      </x:c>
      <x:c r="E83" s="15" t="str">
        <x:v>Pass recorded</x:v>
      </x:c>
      <x:c r="F83" s="15" t="str">
        <x:v>Pass</x:v>
      </x:c>
    </x:row>
    <x:row r="84">
      <x:c r="A84" s="13"/>
      <x:c r="B84" s="13"/>
      <x:c r="C84" s="13"/>
      <x:c r="D84" s="13"/>
      <x:c r="E84" s="13"/>
      <x:c r="F84" s="13"/>
    </x:row>
    <x:row r="85" ht="23.399999618530273">
      <x:c r="A85" s="12" t="str">
        <x:v>Admin Movie/Show Management</x:v>
      </x:c>
      <x:c r="B85" s="13"/>
      <x:c r="C85" s="13"/>
      <x:c r="D85" s="13"/>
      <x:c r="E85" s="13"/>
      <x:c r="F85" s="13"/>
    </x:row>
    <x:row r="86">
      <x:c r="A86" s="13"/>
      <x:c r="B86" s="13"/>
      <x:c r="C86" s="13"/>
      <x:c r="D86" s="13"/>
      <x:c r="E86" s="13"/>
      <x:c r="F86" s="13"/>
    </x:row>
    <x:row r="87">
      <x:c r="A87" s="14" t="str">
        <x:v>TC ID</x:v>
      </x:c>
      <x:c r="B87" s="14" t="str">
        <x:v>Req</x:v>
      </x:c>
      <x:c r="C87" s="14" t="str">
        <x:v>Test Scenario</x:v>
      </x:c>
      <x:c r="D87" s="14" t="str">
        <x:v>Expected Result</x:v>
      </x:c>
      <x:c r="E87" s="14" t="str">
        <x:v>Actual Result / Observation</x:v>
      </x:c>
      <x:c r="F87" s="14" t="str">
        <x:v>Status</x:v>
      </x:c>
    </x:row>
    <x:row r="88">
      <x:c r="A88" s="15" t="str">
        <x:v>TC29</x:v>
      </x:c>
      <x:c r="B88" s="15" t="str">
        <x:v>R15</x:v>
      </x:c>
      <x:c r="C88" s="15" t="str">
        <x:v>Admin adds a new movie</x:v>
      </x:c>
      <x:c r="D88" s="15" t="str">
        <x:v>Movie should be added successfully</x:v>
      </x:c>
      <x:c r="E88" s="15" t="str">
        <x:v>Not Executed</x:v>
      </x:c>
      <x:c r="F88" s="15" t="str">
        <x:v>Not Executed</x:v>
      </x:c>
    </x:row>
    <x:row r="89" ht="28.799999237060547">
      <x:c r="A89" s="15" t="str">
        <x:v>TC30</x:v>
      </x:c>
      <x:c r="B89" s="15" t="str">
        <x:v>R15</x:v>
      </x:c>
      <x:c r="C89" s="15" t="str">
        <x:v>Admin updates show timing</x:v>
      </x:c>
      <x:c r="D89" s="15" t="str">
        <x:v>Updated show timing should appear</x:v>
      </x:c>
      <x:c r="E89" s="15" t="str">
        <x:v>Not Executed</x:v>
      </x:c>
      <x:c r="F89" s="15" t="str">
        <x:v>Not Executed</x:v>
      </x:c>
    </x:row>
    <x:row r="90">
      <x:c r="A90" s="13"/>
      <x:c r="B90" s="13"/>
      <x:c r="C90" s="13"/>
      <x:c r="D90" s="13"/>
      <x:c r="E90" s="13"/>
      <x:c r="F90" s="13"/>
    </x:row>
    <x:row r="91">
      <x:c r="A91" s="13"/>
      <x:c r="B91" s="13"/>
      <x:c r="C91" s="13"/>
      <x:c r="D91" s="13"/>
      <x:c r="E91" s="13"/>
      <x:c r="F91" s="13"/>
    </x:row>
    <x:row r="92" ht="21">
      <x:c r="A92" s="16" t="str">
        <x:v>TESTING REQUIREMENTS</x:v>
      </x:c>
      <x:c r="B92" s="13"/>
      <x:c r="C92" s="13"/>
      <x:c r="D92" s="13"/>
      <x:c r="E92" s="13"/>
      <x:c r="F92" s="13"/>
    </x:row>
    <x:row r="93">
      <x:c r="A93" s="13"/>
      <x:c r="B93" s="13"/>
      <x:c r="C93" s="13"/>
      <x:c r="D93" s="13"/>
      <x:c r="E93" s="13"/>
      <x:c r="F93" s="13"/>
    </x:row>
    <x:row r="94">
      <x:c r="A94" s="14" t="str">
        <x:v>Req ID</x:v>
      </x:c>
      <x:c r="B94" s="14" t="str">
        <x:v>Requirement</x:v>
      </x:c>
      <x:c r="C94" s="14" t="str">
        <x:v>Test Cases</x:v>
      </x:c>
      <x:c r="D94" s="14" t="str">
        <x:v>Tested?</x:v>
      </x:c>
      <x:c r="E94" s="13"/>
      <x:c r="F94" s="13"/>
    </x:row>
    <x:row r="95" ht="18" customHeight="1">
      <x:c r="A95" s="15" t="str">
        <x:v>R1</x:v>
      </x:c>
      <x:c r="B95" s="15" t="str">
        <x:v>Registration</x:v>
      </x:c>
      <x:c r="C95" s="15" t="str">
        <x:v>TC01, TC02</x:v>
      </x:c>
      <x:c r="D95" s="15" t="str">
        <x:v>Yes</x:v>
      </x:c>
      <x:c r="E95" s="13"/>
      <x:c r="F95" s="13"/>
    </x:row>
    <x:row r="96">
      <x:c r="A96" s="15" t="str">
        <x:v>R2</x:v>
      </x:c>
      <x:c r="B96" s="15" t="str">
        <x:v>Login</x:v>
      </x:c>
      <x:c r="C96" s="15" t="str">
        <x:v>TC03, TC04</x:v>
      </x:c>
      <x:c r="D96" s="15" t="str">
        <x:v>Yes</x:v>
      </x:c>
      <x:c r="E96" s="13"/>
      <x:c r="F96" s="13"/>
    </x:row>
    <x:row r="97">
      <x:c r="A97" s="15" t="str">
        <x:v>R3</x:v>
      </x:c>
      <x:c r="B97" s="15" t="str">
        <x:v>Movie Search</x:v>
      </x:c>
      <x:c r="C97" s="15" t="str">
        <x:v>TC05, TC06</x:v>
      </x:c>
      <x:c r="D97" s="15" t="str">
        <x:v>Yes</x:v>
      </x:c>
      <x:c r="E97" s="13"/>
      <x:c r="F97" s="13"/>
    </x:row>
    <x:row r="98">
      <x:c r="A98" s="15" t="str">
        <x:v>R4</x:v>
      </x:c>
      <x:c r="B98" s="15" t="str">
        <x:v>Language Filter</x:v>
      </x:c>
      <x:c r="C98" s="15" t="str">
        <x:v>TC07, TC08</x:v>
      </x:c>
      <x:c r="D98" s="15" t="str">
        <x:v>Yes</x:v>
      </x:c>
      <x:c r="E98" s="13"/>
      <x:c r="F98" s="13"/>
    </x:row>
    <x:row r="99">
      <x:c r="A99" s="15" t="str">
        <x:v>R5</x:v>
      </x:c>
      <x:c r="B99" s="15" t="str">
        <x:v>Movie Details</x:v>
      </x:c>
      <x:c r="C99" s="15" t="str">
        <x:v>TC09, TC10</x:v>
      </x:c>
      <x:c r="D99" s="15" t="str">
        <x:v>Yes</x:v>
      </x:c>
      <x:c r="E99" s="13"/>
      <x:c r="F99" s="13"/>
    </x:row>
    <x:row r="100">
      <x:c r="A100" s="15" t="str">
        <x:v>R6</x:v>
      </x:c>
      <x:c r="B100" s="15" t="str">
        <x:v>Theatre/Show Selection</x:v>
      </x:c>
      <x:c r="C100" s="15" t="str">
        <x:v>TC11, TC12</x:v>
      </x:c>
      <x:c r="D100" s="15" t="str">
        <x:v>Yes</x:v>
      </x:c>
      <x:c r="E100" s="13"/>
      <x:c r="F100" s="13"/>
    </x:row>
    <x:row r="101">
      <x:c r="A101" s="15" t="str">
        <x:v>R7</x:v>
      </x:c>
      <x:c r="B101" s="15" t="str">
        <x:v>Seat Selection</x:v>
      </x:c>
      <x:c r="C101" s="15" t="str">
        <x:v>TC13, TC14</x:v>
      </x:c>
      <x:c r="D101" s="15" t="str">
        <x:v>Yes</x:v>
      </x:c>
      <x:c r="E101" s="13"/>
      <x:c r="F101" s="13"/>
    </x:row>
    <x:row r="102">
      <x:c r="A102" s="15" t="str">
        <x:v>R8</x:v>
      </x:c>
      <x:c r="B102" s="15" t="str">
        <x:v>Seat Locking</x:v>
      </x:c>
      <x:c r="C102" s="15" t="str">
        <x:v>TC15, TC16</x:v>
      </x:c>
      <x:c r="D102" s="15" t="str">
        <x:v>Yes</x:v>
      </x:c>
      <x:c r="E102" s="13"/>
      <x:c r="F102" s="13"/>
    </x:row>
    <x:row r="103">
      <x:c r="A103" s="15" t="str">
        <x:v>R9</x:v>
      </x:c>
      <x:c r="B103" s="15" t="str">
        <x:v>Coupon</x:v>
      </x:c>
      <x:c r="C103" s="15" t="str">
        <x:v>TC17, TC18</x:v>
      </x:c>
      <x:c r="D103" s="15" t="str">
        <x:v>Yes</x:v>
      </x:c>
      <x:c r="E103" s="13"/>
      <x:c r="F103" s="13"/>
    </x:row>
    <x:row r="104" ht="15" customHeight="1">
      <x:c r="A104" s="15" t="str">
        <x:v>R10</x:v>
      </x:c>
      <x:c r="B104" s="15" t="str">
        <x:v>Payment</x:v>
      </x:c>
      <x:c r="C104" s="15" t="str">
        <x:v>TC19, TC20</x:v>
      </x:c>
      <x:c r="D104" s="15" t="str">
        <x:v>Yes</x:v>
      </x:c>
      <x:c r="E104" s="13"/>
      <x:c r="F104" s="13"/>
    </x:row>
    <x:row r="105">
      <x:c r="A105" s="15" t="str">
        <x:v>R11</x:v>
      </x:c>
      <x:c r="B105" s="15" t="str">
        <x:v>Booking Confirmation</x:v>
      </x:c>
      <x:c r="C105" s="15" t="str">
        <x:v>TC21, TC22</x:v>
      </x:c>
      <x:c r="D105" s="15" t="str">
        <x:v>Yes</x:v>
      </x:c>
      <x:c r="E105" s="13"/>
      <x:c r="F105" s="13"/>
    </x:row>
    <x:row r="106" ht="16.799999237060547" customHeight="1">
      <x:c r="A106" s="15" t="str">
        <x:v>R12</x:v>
      </x:c>
      <x:c r="B106" s="15" t="str">
        <x:v>Booking Cancellation</x:v>
      </x:c>
      <x:c r="C106" s="15" t="str">
        <x:v>TC23, TC24</x:v>
      </x:c>
      <x:c r="D106" s="15" t="str">
        <x:v>No</x:v>
      </x:c>
      <x:c r="E106" s="13"/>
      <x:c r="F106" s="13"/>
    </x:row>
    <x:row r="107" ht="16.200000762939453" customHeight="1">
      <x:c r="A107" s="15" t="str">
        <x:v>R13</x:v>
      </x:c>
      <x:c r="B107" s="15" t="str">
        <x:v>Confirmation Notification</x:v>
      </x:c>
      <x:c r="C107" s="15" t="str">
        <x:v>TC25, TC26</x:v>
      </x:c>
      <x:c r="D107" s="15" t="str">
        <x:v>No</x:v>
      </x:c>
      <x:c r="E107" s="13"/>
      <x:c r="F107" s="13"/>
    </x:row>
    <x:row r="108" ht="19.799999237060547" customHeight="1">
      <x:c r="A108" s="15" t="str">
        <x:v>R14</x:v>
      </x:c>
      <x:c r="B108" s="15" t="str">
        <x:v>Response Time</x:v>
      </x:c>
      <x:c r="C108" s="15" t="str">
        <x:v>TC27, TC28</x:v>
      </x:c>
      <x:c r="D108" s="15" t="str">
        <x:v>Yes</x:v>
      </x:c>
      <x:c r="E108" s="13"/>
      <x:c r="F108" s="13"/>
    </x:row>
    <x:row r="109" ht="18" customHeight="1">
      <x:c r="A109" s="15" t="str">
        <x:v>R15</x:v>
      </x:c>
      <x:c r="B109" s="15" t="str">
        <x:v>Admin Movie/Show Management</x:v>
      </x:c>
      <x:c r="C109" s="15" t="str">
        <x:v>TC29, TC30</x:v>
      </x:c>
      <x:c r="D109" s="15" t="str">
        <x:v>No</x:v>
      </x:c>
      <x:c r="E109" s="13"/>
      <x:c r="F109" s="13"/>
    </x:row>
    <x:row r="113">
      <x:c r="A113" s="5"/>
    </x:row>
  </x:sheetData>
  <x:dataValidations count="1">
    <x:dataValidation type="list" allowBlank="1" showInputMessage="1" showErrorMessage="1" sqref="F1:F1048576">
      <x:formula1>"Pass,Fail,Not executed"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28" hidden="0" customWidth="1"/>
    <x:col min="2" max="2" width="24" hidden="0" customWidth="1"/>
    <x:col min="3" max="3" width="16" hidden="0" customWidth="1"/>
    <x:col min="4" max="4" width="22" hidden="0" customWidth="1"/>
    <x:col min="5" max="5" width="44" hidden="0" customWidth="1"/>
    <x:col min="6" max="6" width="16" hidden="0" customWidth="1"/>
  </x:cols>
  <x:sheetData>
    <x:row r="1">
      <x:c r="A1" s="23" t="str">
        <x:v>CineBook – Test Metrics Dashboard</x:v>
      </x:c>
      <x:c r="B1" s="23"/>
      <x:c r="C1" s="23"/>
      <x:c r="D1" s="23"/>
      <x:c r="E1" s="23"/>
      <x:c r="F1" s="23"/>
    </x:row>
    <x:row r="2">
      <x:c r="A2" s="68"/>
      <x:c r="B2" s="68"/>
      <x:c r="C2" s="68"/>
      <x:c r="D2" s="68"/>
      <x:c r="E2" s="68"/>
      <x:c r="F2" s="68"/>
    </x:row>
    <x:row r="3">
      <x:c r="A3" s="46" t="str">
        <x:v>Metric</x:v>
      </x:c>
      <x:c r="B3" s="47" t="str">
        <x:v>Calculation</x:v>
      </x:c>
      <x:c r="C3" s="47" t="str">
        <x:v>Result</x:v>
      </x:c>
      <x:c r="D3" s="69"/>
      <x:c r="E3" s="69"/>
      <x:c r="F3" s="70"/>
    </x:row>
    <x:row r="4">
      <x:c r="A4" s="71" t="str">
        <x:v>Total Requirements</x:v>
      </x:c>
      <x:c r="B4" s="15" t="str">
        <x:v>—</x:v>
      </x:c>
      <x:c r="C4" s="15" t="n">
        <x:f>15</x:f>
        <x:v>15</x:v>
      </x:c>
      <x:c r="D4" s="15"/>
      <x:c r="E4" s="15"/>
      <x:c r="F4" s="72"/>
    </x:row>
    <x:row r="5">
      <x:c r="A5" s="71" t="str">
        <x:v>Requirements Tested</x:v>
      </x:c>
      <x:c r="B5" s="15" t="str">
        <x:v>Tested requirements</x:v>
      </x:c>
      <x:c r="C5" s="15" t="n">
        <x:f>COUNTIF('Sheet1'!D95:D109,"Yes")</x:f>
        <x:v>12</x:v>
      </x:c>
      <x:c r="D5" s="15"/>
      <x:c r="E5" s="15"/>
      <x:c r="F5" s="72"/>
    </x:row>
    <x:row r="6">
      <x:c r="A6" s="71" t="str">
        <x:v>Requirements Not Tested</x:v>
      </x:c>
      <x:c r="B6" s="15" t="str">
        <x:v>Total requirements − tested</x:v>
      </x:c>
      <x:c r="C6" s="15" t="n">
        <x:f>COUNTIF('Sheet1'!D95:D109,"No")</x:f>
        <x:v>3</x:v>
      </x:c>
      <x:c r="D6" s="15"/>
      <x:c r="E6" s="15"/>
      <x:c r="F6" s="72"/>
    </x:row>
    <x:row r="7">
      <x:c r="A7" s="98" t="str">
        <x:v>Requirement Coverage</x:v>
      </x:c>
      <x:c r="B7" s="99" t="str">
        <x:v>Tested ÷ Total requirements × 100</x:v>
      </x:c>
      <x:c r="C7" s="100" t="n">
        <x:f>C5/C4</x:f>
        <x:v>0.8</x:v>
      </x:c>
      <x:c r="D7" s="15"/>
      <x:c r="E7" s="15"/>
      <x:c r="F7" s="72"/>
    </x:row>
    <x:row r="8">
      <x:c r="A8" s="98" t="str">
        <x:v>Total Test Cases</x:v>
      </x:c>
      <x:c r="B8" s="99" t="str">
        <x:v>Requirements × 2 (two TCs each)</x:v>
      </x:c>
      <x:c r="C8" s="99" t="n">
        <x:f>C4*2</x:f>
        <x:v>30</x:v>
      </x:c>
      <x:c r="D8" s="15"/>
      <x:c r="E8" s="15"/>
      <x:c r="F8" s="72"/>
    </x:row>
    <x:row r="9">
      <x:c r="A9" s="98" t="str">
        <x:v>Executed Test Cases</x:v>
      </x:c>
      <x:c r="B9" s="99" t="str">
        <x:v>Pass + Fail</x:v>
      </x:c>
      <x:c r="C9" s="99" t="n">
        <x:f>COUNTIF('Sheet1'!F4:F89,"Pass")+COUNTIF('Sheet1'!F4:F89,"Fail")</x:f>
        <x:v>24</x:v>
      </x:c>
      <x:c r="D9" s="15"/>
      <x:c r="E9" s="15"/>
      <x:c r="F9" s="72"/>
    </x:row>
    <x:row r="10">
      <x:c r="A10" s="98" t="str">
        <x:v>Not Executed</x:v>
      </x:c>
      <x:c r="B10" s="99" t="str">
        <x:v>Total test cases − executed</x:v>
      </x:c>
      <x:c r="C10" s="99" t="n">
        <x:f>C8-C9</x:f>
        <x:v>6</x:v>
      </x:c>
      <x:c r="D10" s="15"/>
      <x:c r="E10" s="15"/>
      <x:c r="F10" s="72"/>
    </x:row>
    <x:row r="11">
      <x:c r="A11" s="98" t="str">
        <x:v>Test Execution</x:v>
      </x:c>
      <x:c r="B11" s="99" t="str">
        <x:v>Executed ÷ Total test cases × 100</x:v>
      </x:c>
      <x:c r="C11" s="100" t="n">
        <x:f>C9/C8</x:f>
        <x:v>0.8</x:v>
      </x:c>
      <x:c r="D11" s="15"/>
      <x:c r="E11" s="15"/>
      <x:c r="F11" s="72"/>
    </x:row>
    <x:row r="12">
      <x:c r="A12" s="98" t="str">
        <x:v>Passed</x:v>
      </x:c>
      <x:c r="B12" s="99" t="str">
        <x:v>Count of Pass</x:v>
      </x:c>
      <x:c r="C12" s="99" t="n">
        <x:f>COUNTIF('Sheet1'!F4:F89,"Pass")</x:f>
        <x:v>20</x:v>
      </x:c>
      <x:c r="D12" s="15"/>
      <x:c r="E12" s="15"/>
      <x:c r="F12" s="72"/>
    </x:row>
    <x:row r="13">
      <x:c r="A13" s="98" t="str">
        <x:v>Failed</x:v>
      </x:c>
      <x:c r="B13" s="99" t="str">
        <x:v>Count of Fail</x:v>
      </x:c>
      <x:c r="C13" s="99" t="n">
        <x:f>COUNTIF('Sheet1'!F4:F89,"Fail")</x:f>
        <x:v>4</x:v>
      </x:c>
      <x:c r="D13" s="15"/>
      <x:c r="E13" s="15"/>
      <x:c r="F13" s="72"/>
    </x:row>
    <x:row r="14">
      <x:c r="A14" s="98" t="str">
        <x:v>Pass Rate</x:v>
      </x:c>
      <x:c r="B14" s="99" t="str">
        <x:v>Passed ÷ Executed × 100</x:v>
      </x:c>
      <x:c r="C14" s="100" t="n">
        <x:f>C12/C9</x:f>
        <x:v>0.8333333333333334</x:v>
      </x:c>
      <x:c r="D14" s="15"/>
      <x:c r="E14" s="15"/>
      <x:c r="F14" s="72"/>
    </x:row>
    <x:row r="15">
      <x:c r="A15" s="98" t="str">
        <x:v>Fail Rate</x:v>
      </x:c>
      <x:c r="B15" s="99" t="str">
        <x:v>Failed ÷ Executed × 100</x:v>
      </x:c>
      <x:c r="C15" s="100" t="n">
        <x:f>C13/C9</x:f>
        <x:v>0.16666666666666666</x:v>
      </x:c>
      <x:c r="D15" s="15"/>
      <x:c r="E15" s="15"/>
      <x:c r="F15" s="72"/>
    </x:row>
    <x:row r="16">
      <x:c r="A16" s="104" t="str">
        <x:v>Total Defects</x:v>
      </x:c>
      <x:c r="B16" s="105" t="str">
        <x:v>Count of defects</x:v>
      </x:c>
      <x:c r="C16" s="105" t="n">
        <x:f>COUNTA(A27:A30)</x:f>
        <x:v>4</x:v>
      </x:c>
      <x:c r="D16" s="15"/>
      <x:c r="E16" s="15"/>
      <x:c r="F16" s="72"/>
    </x:row>
    <x:row r="17">
      <x:c r="A17" s="104" t="str">
        <x:v>Critical Defects</x:v>
      </x:c>
      <x:c r="B17" s="105" t="str">
        <x:v>Count of Critical defects</x:v>
      </x:c>
      <x:c r="C17" s="105" t="n">
        <x:f>COUNTIF(C27:C30,"Critical")</x:f>
        <x:v>1</x:v>
      </x:c>
      <x:c r="D17" s="15"/>
      <x:c r="E17" s="15"/>
      <x:c r="F17" s="72"/>
    </x:row>
    <x:row r="18">
      <x:c r="A18" s="104" t="str">
        <x:v>Medium Defects</x:v>
      </x:c>
      <x:c r="B18" s="105" t="str">
        <x:v>Count of Medium defects</x:v>
      </x:c>
      <x:c r="C18" s="105" t="n">
        <x:f>COUNTIF(C27:C30,"Medium")</x:f>
        <x:v>2</x:v>
      </x:c>
      <x:c r="D18" s="15"/>
      <x:c r="E18" s="15"/>
      <x:c r="F18" s="72"/>
    </x:row>
    <x:row r="19">
      <x:c r="A19" s="104" t="str">
        <x:v>Low Defects</x:v>
      </x:c>
      <x:c r="B19" s="105" t="str">
        <x:v>Count of Low defects</x:v>
      </x:c>
      <x:c r="C19" s="105" t="n">
        <x:f>COUNTIF(C27:C30,"Low")</x:f>
        <x:v>1</x:v>
      </x:c>
      <x:c r="D19" s="15"/>
      <x:c r="E19" s="15"/>
      <x:c r="F19" s="72"/>
    </x:row>
    <x:row r="20">
      <x:c r="A20" s="104" t="str">
        <x:v>Critical Defect %</x:v>
      </x:c>
      <x:c r="B20" s="105" t="str">
        <x:v>Critical ÷ Total defects × 100</x:v>
      </x:c>
      <x:c r="C20" s="106" t="n">
        <x:f>C17/C16</x:f>
        <x:v>0.25</x:v>
      </x:c>
      <x:c r="D20" s="15"/>
      <x:c r="E20" s="15"/>
      <x:c r="F20" s="72"/>
    </x:row>
    <x:row r="21">
      <x:c r="A21" s="104" t="str">
        <x:v>Mean Response Time</x:v>
      </x:c>
      <x:c r="B21" s="105" t="str">
        <x:v>Average of response times</x:v>
      </x:c>
      <x:c r="C21" s="107" t="n">
        <x:f>AVERAGE(B34:B38)</x:f>
        <x:v>2.96</x:v>
      </x:c>
      <x:c r="D21" s="15"/>
      <x:c r="E21" s="15"/>
      <x:c r="F21" s="72"/>
    </x:row>
    <x:row r="22">
      <x:c r="A22" s="104" t="str">
        <x:v>Median Response Time</x:v>
      </x:c>
      <x:c r="B22" s="105" t="str">
        <x:v>Middle response-time value</x:v>
      </x:c>
      <x:c r="C22" s="107" t="n">
        <x:f>MEDIAN(B34:B38)</x:f>
        <x:v>2.3</x:v>
      </x:c>
      <x:c r="D22" s="15"/>
      <x:c r="E22" s="15"/>
      <x:c r="F22" s="72"/>
    </x:row>
    <x:row r="23">
      <x:c r="A23" s="104" t="str">
        <x:v>Application Size (KLOC)</x:v>
      </x:c>
      <x:c r="B23" s="105" t="str">
        <x:v>20,000 LOC ÷ 1,000</x:v>
      </x:c>
      <x:c r="C23" s="105" t="n">
        <x:f>20000/1000</x:f>
        <x:v>20</x:v>
      </x:c>
      <x:c r="D23" s="15"/>
      <x:c r="E23" s="15"/>
      <x:c r="F23" s="72"/>
    </x:row>
    <x:row r="24">
      <x:c r="A24" s="104" t="str">
        <x:v>Defect Density</x:v>
      </x:c>
      <x:c r="B24" s="105" t="str">
        <x:v>Total defects ÷ KLOC</x:v>
      </x:c>
      <x:c r="C24" s="107" t="n">
        <x:f>C16/C23</x:f>
        <x:v>0.2</x:v>
      </x:c>
      <x:c r="D24" s="15"/>
      <x:c r="E24" s="15"/>
      <x:c r="F24" s="72"/>
    </x:row>
    <x:row r="25">
      <x:c r="A25" s="71"/>
      <x:c r="B25" s="15"/>
      <x:c r="C25" s="15"/>
      <x:c r="D25" s="15"/>
      <x:c r="E25" s="15"/>
      <x:c r="F25" s="72"/>
    </x:row>
    <x:row r="26">
      <x:c r="A26" s="73" t="str">
        <x:v>Defect ID</x:v>
      </x:c>
      <x:c r="B26" s="74" t="str">
        <x:v>Test Case</x:v>
      </x:c>
      <x:c r="C26" s="74" t="str">
        <x:v>Severity</x:v>
      </x:c>
      <x:c r="D26" s="74" t="str">
        <x:v>Defect Description</x:v>
      </x:c>
      <x:c r="E26" s="74" t="str">
        <x:v>Source</x:v>
      </x:c>
      <x:c r="F26" s="72"/>
    </x:row>
    <x:row r="27">
      <x:c r="A27" s="71" t="str">
        <x:v>BUG01</x:v>
      </x:c>
      <x:c r="B27" s="15" t="str">
        <x:v>TC06</x:v>
      </x:c>
      <x:c r="C27" s="15" t="str">
        <x:v>Low</x:v>
      </x:c>
      <x:c r="D27" s="15" t="str">
        <x:v>Search displays unrelated movies for a non-existing movie</x:v>
      </x:c>
      <x:c r="E27" s="15" t="str">
        <x:v>Source data</x:v>
      </x:c>
      <x:c r="F27" s="72"/>
    </x:row>
    <x:row r="28">
      <x:c r="A28" s="71" t="str">
        <x:v>BUG02</x:v>
      </x:c>
      <x:c r="B28" s="15" t="str">
        <x:v>TC16</x:v>
      </x:c>
      <x:c r="C28" s="15" t="str">
        <x:v>Critical</x:v>
      </x:c>
      <x:c r="D28" s="15" t="str">
        <x:v>Another user can select a temporarily locked seat</x:v>
      </x:c>
      <x:c r="E28" s="15" t="str">
        <x:v>Source data</x:v>
      </x:c>
      <x:c r="F28" s="72"/>
    </x:row>
    <x:row r="29">
      <x:c r="A29" s="71" t="str">
        <x:v>BUG03</x:v>
      </x:c>
      <x:c r="B29" s="15" t="str">
        <x:v>TC18</x:v>
      </x:c>
      <x:c r="C29" s="15" t="str">
        <x:v>Medium</x:v>
      </x:c>
      <x:c r="D29" s="15" t="str">
        <x:v>Expired coupon is accepted</x:v>
      </x:c>
      <x:c r="E29" s="15" t="str">
        <x:v>Source data</x:v>
      </x:c>
      <x:c r="F29" s="72"/>
    </x:row>
    <x:row r="30">
      <x:c r="A30" s="71" t="str">
        <x:v>BUG04</x:v>
      </x:c>
      <x:c r="B30" s="15" t="str">
        <x:v>TC27</x:v>
      </x:c>
      <x:c r="C30" s="15" t="str">
        <x:v>Medium</x:v>
      </x:c>
      <x:c r="D30" s="15" t="str">
        <x:v>Movie search takes more than 3 seconds</x:v>
      </x:c>
      <x:c r="E30" s="15" t="str">
        <x:v>Source data</x:v>
      </x:c>
      <x:c r="F30" s="72"/>
    </x:row>
    <x:row r="31">
      <x:c r="A31" s="71"/>
      <x:c r="B31" s="15"/>
      <x:c r="C31" s="15"/>
      <x:c r="D31" s="15"/>
      <x:c r="E31" s="15"/>
      <x:c r="F31" s="72"/>
    </x:row>
    <x:row r="32">
      <x:c r="A32" s="71"/>
      <x:c r="B32" s="15"/>
      <x:c r="C32" s="15"/>
      <x:c r="D32" s="15"/>
      <x:c r="E32" s="15"/>
      <x:c r="F32" s="72"/>
    </x:row>
    <x:row r="33">
      <x:c r="A33" s="73" t="str">
        <x:v>Response Time Test</x:v>
      </x:c>
      <x:c r="B33" s="74" t="str">
        <x:v>Time (sec)</x:v>
      </x:c>
      <x:c r="C33" s="15"/>
      <x:c r="D33" s="74" t="str">
        <x:v>Severity</x:v>
      </x:c>
      <x:c r="E33" s="74" t="str">
        <x:v>Count</x:v>
      </x:c>
      <x:c r="F33" s="75" t="str">
        <x:v>Percentage</x:v>
      </x:c>
    </x:row>
    <x:row r="34">
      <x:c r="A34" s="71" t="n">
        <x:v>1</x:v>
      </x:c>
      <x:c r="B34" s="96" t="n">
        <x:v>2.1</x:v>
      </x:c>
      <x:c r="C34" s="15"/>
      <x:c r="D34" s="15" t="str">
        <x:v>Critical</x:v>
      </x:c>
      <x:c r="E34" s="15" t="n">
        <x:f>COUNTIF(C27:C30,"Critical")</x:f>
        <x:v>1</x:v>
      </x:c>
      <x:c r="F34" s="94" t="n">
        <x:f>E34/$C$16</x:f>
        <x:v>0.25</x:v>
      </x:c>
    </x:row>
    <x:row r="35">
      <x:c r="A35" s="71" t="n">
        <x:v>2</x:v>
      </x:c>
      <x:c r="B35" s="96" t="n">
        <x:v>2.4</x:v>
      </x:c>
      <x:c r="C35" s="15"/>
      <x:c r="D35" s="15" t="str">
        <x:v>High</x:v>
      </x:c>
      <x:c r="E35" s="15" t="n">
        <x:f>COUNTIF(C27:C30,"High")</x:f>
        <x:v>0</x:v>
      </x:c>
      <x:c r="F35" s="94" t="n">
        <x:f>E35/$C$16</x:f>
        <x:v>0</x:v>
      </x:c>
    </x:row>
    <x:row r="36">
      <x:c r="A36" s="71" t="n">
        <x:v>3</x:v>
      </x:c>
      <x:c r="B36" s="96" t="n">
        <x:v>2.2</x:v>
      </x:c>
      <x:c r="C36" s="15"/>
      <x:c r="D36" s="15" t="str">
        <x:v>Medium</x:v>
      </x:c>
      <x:c r="E36" s="15" t="n">
        <x:f>COUNTIF(C27:C30,"Medium")</x:f>
        <x:v>2</x:v>
      </x:c>
      <x:c r="F36" s="94" t="n">
        <x:f>E36/$C$16</x:f>
        <x:v>0.5</x:v>
      </x:c>
    </x:row>
    <x:row r="37">
      <x:c r="A37" s="71" t="n">
        <x:v>4</x:v>
      </x:c>
      <x:c r="B37" s="96" t="n">
        <x:v>2.3</x:v>
      </x:c>
      <x:c r="C37" s="15"/>
      <x:c r="D37" s="15" t="str">
        <x:v>Low</x:v>
      </x:c>
      <x:c r="E37" s="15" t="n">
        <x:f>COUNTIF(C27:C30,"Low")</x:f>
        <x:v>1</x:v>
      </x:c>
      <x:c r="F37" s="94" t="n">
        <x:f>E37/$C$16</x:f>
        <x:v>0.25</x:v>
      </x:c>
    </x:row>
    <x:row r="38">
      <x:c r="A38" s="71" t="n">
        <x:v>5</x:v>
      </x:c>
      <x:c r="B38" s="96" t="n">
        <x:v>5.8</x:v>
      </x:c>
      <x:c r="C38" s="15"/>
      <x:c r="D38" s="15"/>
      <x:c r="E38" s="15"/>
      <x:c r="F38" s="72"/>
    </x:row>
    <x:row r="39">
      <x:c r="A39" s="71"/>
      <x:c r="B39" s="15"/>
      <x:c r="C39" s="15"/>
      <x:c r="D39" s="15"/>
      <x:c r="E39" s="15"/>
      <x:c r="F39" s="72"/>
    </x:row>
    <x:row r="40">
      <x:c r="A40" s="76"/>
      <x:c r="B40" s="77"/>
      <x:c r="C40" s="77"/>
      <x:c r="D40" s="77"/>
      <x:c r="E40" s="77"/>
      <x:c r="F40" s="78"/>
    </x:row>
    <x:row r="41">
      <x:c r="A41"/>
      <x:c r="B41"/>
      <x:c r="C41"/>
      <x:c r="D41"/>
      <x:c r="E41"/>
      <x:c r="F41"/>
    </x:row>
    <x:row r="42" ht="36" customHeight="1">
      <x:c r="A42" s="115" t="str">
        <x:v>Note: The supplied source records expected results and status for the test cases. Detailed Actual Result text is included only where the source provides a specific observation; otherwise the Test Cases sheet uses “Pass recorded” / “Not Executed” as a simple status placeholder.</x:v>
      </x:c>
      <x:c r="B42" s="115"/>
      <x:c r="C42" s="115"/>
      <x:c r="D42" s="115"/>
      <x:c r="E42" s="115"/>
      <x:c r="F42" s="115"/>
    </x:row>
    <x:row r="43" ht="36" customHeight="1">
      <x:c r="A43" s="115"/>
      <x:c r="B43" s="115"/>
      <x:c r="C43" s="115"/>
      <x:c r="D43" s="115"/>
      <x:c r="E43" s="115"/>
      <x:c r="F43" s="115"/>
    </x:row>
    <x:row r="44">
      <x:c r="A44"/>
      <x:c r="B44"/>
      <x:c r="C44"/>
      <x:c r="D44"/>
      <x:c r="E44"/>
      <x:c r="F44"/>
    </x:row>
    <x:row r="45">
      <x:c r="A45"/>
      <x:c r="B45"/>
      <x:c r="C45"/>
      <x:c r="D45"/>
      <x:c r="E45"/>
      <x:c r="F45"/>
    </x:row>
    <x:row r="46">
      <x:c r="A46"/>
      <x:c r="B46"/>
      <x:c r="C46"/>
      <x:c r="D46"/>
      <x:c r="E46"/>
      <x:c r="F46"/>
    </x:row>
    <x:row r="47">
      <x:c r="A47"/>
      <x:c r="B47"/>
      <x:c r="C47"/>
      <x:c r="D47"/>
      <x:c r="E47"/>
      <x:c r="F47"/>
    </x:row>
    <x:row r="48">
      <x:c r="A48"/>
      <x:c r="B48"/>
      <x:c r="C48"/>
      <x:c r="D48"/>
      <x:c r="E48"/>
      <x:c r="F48"/>
    </x:row>
    <x:row r="49">
      <x:c r="A49"/>
      <x:c r="B49"/>
      <x:c r="C49"/>
      <x:c r="D49"/>
      <x:c r="E49"/>
      <x:c r="F49"/>
    </x:row>
    <x:row r="50">
      <x:c r="A50"/>
      <x:c r="B50"/>
      <x:c r="C50"/>
      <x:c r="D50"/>
      <x:c r="E50"/>
      <x:c r="F50"/>
    </x:row>
    <x:row r="51">
      <x:c r="A51"/>
      <x:c r="B51"/>
      <x:c r="C51"/>
      <x:c r="D51"/>
      <x:c r="E51"/>
      <x:c r="F51"/>
    </x:row>
    <x:row r="52">
      <x:c r="A52"/>
      <x:c r="B52"/>
      <x:c r="C52"/>
      <x:c r="D52"/>
      <x:c r="E52"/>
      <x:c r="F52"/>
    </x:row>
    <x:row r="53">
      <x:c r="A53"/>
      <x:c r="B53"/>
      <x:c r="C53"/>
      <x:c r="D53"/>
      <x:c r="E53"/>
      <x:c r="F53"/>
    </x:row>
    <x:row r="54">
      <x:c r="A54"/>
      <x:c r="B54"/>
      <x:c r="C54"/>
      <x:c r="D54"/>
      <x:c r="E54"/>
      <x:c r="F54"/>
    </x:row>
    <x:row r="55">
      <x:c r="A55"/>
      <x:c r="B55"/>
      <x:c r="C55"/>
      <x:c r="D55"/>
      <x:c r="E55"/>
      <x:c r="F55"/>
    </x:row>
    <x:row r="56">
      <x:c r="A56"/>
      <x:c r="B56"/>
      <x:c r="C56"/>
      <x:c r="D56"/>
      <x:c r="E56"/>
      <x:c r="F56"/>
    </x:row>
    <x:row r="57">
      <x:c r="A57"/>
      <x:c r="B57"/>
      <x:c r="C57"/>
      <x:c r="D57"/>
      <x:c r="E57"/>
      <x:c r="F57"/>
    </x:row>
    <x:row r="58">
      <x:c r="A58"/>
      <x:c r="B58"/>
      <x:c r="C58"/>
      <x:c r="D58"/>
      <x:c r="E58"/>
      <x:c r="F58"/>
    </x:row>
    <x:row r="59">
      <x:c r="A59"/>
      <x:c r="B59"/>
      <x:c r="C59"/>
      <x:c r="D59"/>
      <x:c r="E59"/>
      <x:c r="F59"/>
    </x:row>
    <x:row r="60">
      <x:c r="A60"/>
      <x:c r="B60"/>
      <x:c r="C60"/>
      <x:c r="D60"/>
      <x:c r="E60"/>
      <x:c r="F60"/>
    </x:row>
  </x:sheetData>
  <x:mergeCells>
    <x:mergeCell ref="A1:F1"/>
    <x:mergeCell ref="A42:F43"/>
  </x:mergeCells>
  <x:pageMargins left="0.7" right="0.7" top="0.75" bottom="0.75" header="0.3" footer="0.3"/>
</x:worksheet>
</file>